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4a4317537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一成绩" sheetId="1" r:id="R79933492b12d4f02"/>
    <x:sheet xmlns:r="http://schemas.openxmlformats.org/officeDocument/2006/relationships" name="提交跟踪" sheetId="2" r:id="R10369419f841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4">
    <x:font>
      <x:sz val="11"/>
      <x:name val="Carlito"/>
    </x:font>
    <x:font>
      <x:sz val="11"/>
      <x:color rgb="FF233247"/>
      <x:name val="SimSun"/>
    </x:font>
    <x:font>
      <x:b/>
      <x:sz val="11"/>
      <x:color rgb="FFFFFFFF"/>
      <x:name val="SimSun"/>
    </x:font>
    <x:font>
      <x:b/>
      <x:sz val="19"/>
      <x:color rgb="FF203C59"/>
      <x:name val="SimSun"/>
    </x:font>
  </x:fonts>
  <x:fills count="5">
    <x:fill>
      <x:patternFill patternType="none"/>
    </x:fill>
    <x:fill>
      <x:patternFill patternType="gray125"/>
    </x:fill>
    <x:fill>
      <x:patternFill patternType="solid">
        <x:fgColor rgb="FF203C59"/>
      </x:patternFill>
    </x:fill>
    <x:fill>
      <x:patternFill patternType="solid">
        <x:fgColor rgb="FFFFF3D6"/>
      </x:patternFill>
    </x:fill>
    <x:fill>
      <x:patternFill patternType="solid">
        <x:fgColor rgb="FFE6F0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876de489843fa" /><Relationship Type="http://schemas.openxmlformats.org/officeDocument/2006/relationships/theme" Target="/xl/theme/theme1.xml" Id="R792d0cbf4c1a4af0" /><Relationship Type="http://schemas.openxmlformats.org/officeDocument/2006/relationships/sharedStrings" Target="/xl/sharedStrings.xml" Id="R4d31902812fe4e60" /><Relationship Type="http://schemas.openxmlformats.org/officeDocument/2006/relationships/worksheet" Target="/xl/worksheets/sheet1.xml" Id="R79933492b12d4f02" /><Relationship Type="http://schemas.openxmlformats.org/officeDocument/2006/relationships/worksheet" Target="/xl/worksheets/sheet2.xml" Id="R10369419f84147eb" /></Relationships>
</file>

<file path=xl/tables/table1.xml><?xml version="1.0" encoding="utf-8"?>
<x:table xmlns:x="http://schemas.openxmlformats.org/spreadsheetml/2006/main" id="1" name="GradeRecords" displayName="GradeRecords" ref="A8:N45" headerRowCount="1" totalsRowCount="0" totalsRowShown="0">
  <x:tableColumns count="14">
    <x:tableColumn id="1" name="序号"/>
    <x:tableColumn id="2" name="学号"/>
    <x:tableColumn id="3" name="姓名"/>
    <x:tableColumn id="4" name="GitHub用户名"/>
    <x:tableColumn id="5" name="是否提交"/>
    <x:tableColumn id="6" name="自动评分&#10;70分"/>
    <x:tableColumn id="7" name="自拟反例&#10;5分"/>
    <x:tableColumn id="8" name="实验报告&#10;15分"/>
    <x:tableColumn id="9" name="AI协作&#10;10分"/>
    <x:tableColumn id="10" name="选做加分&#10;10分"/>
    <x:tableColumn id="11" name="教师评分&#10;30分"/>
    <x:tableColumn id="12" name="最终成绩&#10;100分"/>
    <x:tableColumn id="13" name="成绩状态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missionTracking" displayName="SubmissionTracking" ref="A8:M45" headerRowCount="1" totalsRowCount="0" totalsRowShown="0">
  <x:tableColumns count="13">
    <x:tableColumn id="1" name="序号"/>
    <x:tableColumn id="2" name="学号"/>
    <x:tableColumn id="3" name="姓名"/>
    <x:tableColumn id="4" name="GitHub用户名"/>
    <x:tableColumn id="5" name="是否提交代码"/>
    <x:tableColumn id="6" name="PR数量"/>
    <x:tableColumn id="7" name="提交次数"/>
    <x:tableColumn id="8" name="最新PR"/>
    <x:tableColumn id="9" name="最新PR状态"/>
    <x:tableColumn id="10" name="最新评分"/>
    <x:tableColumn id="11" name="评分状态"/>
    <x:tableColumn id="12" name="最近提交时间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f82686e27d48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7e279215d840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12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7" hidden="0" customWidth="1"/>
    <x:col min="14" max="14" width="28" hidden="0" customWidth="1"/>
  </x:cols>
  <x:sheetData>
    <x:row r="1" ht="34" customHeight="1">
      <x:c r="A1" s="5" t="str">
        <x:v>现代交换原理 · 实验一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" customHeight="1">
      <x:c r="A2" s="1" t="str">
        <x:v>电路交换与分组交换效率比较｜37人教学班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5" customHeight="1">
      <x:c r="A3" s="1" t="str">
        <x:v>名单来源：现代交换原理-学生名单.pdf；已核对37人。初始记录日期：2026-10-16。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5" customHeight="1">
      <x:c r="A4" s="1" t="str">
        <x:v>班级人数</x:v>
      </x:c>
      <x:c r="B4" s="1" t="n">
        <x:f>COUNTA(B9:B45)</x:f>
        <x:v>37</x:v>
      </x:c>
      <x:c r="C4" s="1"/>
      <x:c r="D4" s="1" t="str">
        <x:v>已提交人数</x:v>
      </x:c>
      <x:c r="E4" s="1" t="n">
        <x:f>COUNTIFS(E9:E45,"是")</x:f>
        <x:v>0</x:v>
      </x:c>
      <x:c r="F4" s="1"/>
      <x:c r="G4" s="1" t="str">
        <x:v>成绩已完成</x:v>
      </x:c>
      <x:c r="H4" s="1" t="n">
        <x:f>COUNT(L9:L45)</x:f>
        <x:v>0</x:v>
      </x:c>
      <x:c r="I4" s="1"/>
      <x:c r="J4" s="1"/>
      <x:c r="K4" s="1"/>
      <x:c r="L4" s="1"/>
      <x:c r="M4" s="1"/>
      <x:c r="N4" s="1"/>
    </x:row>
    <x:row r="5" ht="25" customHeight="1">
      <x:c r="A5" s="1" t="str">
        <x:v>浅黄色录入成绩；蓝色总分自动计算。未评分保留空白；实际零分请输入0。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5" customHeight="1">
      <x:c r="A6" s="1" t="str">
        <x:v>最终成绩＝自动70＋教师30＋选做加分（最多10），封顶100；必评分项完整后显示总分。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40" customHeight="1">
      <x:c r="A8" s="4" t="str">
        <x:v>序号</x:v>
      </x:c>
      <x:c r="B8" s="4" t="str">
        <x:v>学号</x:v>
      </x:c>
      <x:c r="C8" s="4" t="str">
        <x:v>姓名</x:v>
      </x:c>
      <x:c r="D8" s="4" t="str">
        <x:v>GitHub用户名</x:v>
      </x:c>
      <x:c r="E8" s="4" t="str">
        <x:v>是否提交</x:v>
      </x:c>
      <x:c r="F8" s="4" t="str">
        <x:v>自动评分
70分</x:v>
      </x:c>
      <x:c r="G8" s="4" t="str">
        <x:v>自拟反例
5分</x:v>
      </x:c>
      <x:c r="H8" s="4" t="str">
        <x:v>实验报告
15分</x:v>
      </x:c>
      <x:c r="I8" s="4" t="str">
        <x:v>AI协作
10分</x:v>
      </x:c>
      <x:c r="J8" s="4" t="str">
        <x:v>选做加分
10分</x:v>
      </x:c>
      <x:c r="K8" s="4" t="str">
        <x:v>教师评分
30分</x:v>
      </x:c>
      <x:c r="L8" s="4" t="str">
        <x:v>最终成绩
100分</x:v>
      </x:c>
      <x:c r="M8" s="4" t="str">
        <x:v>成绩状态</x:v>
      </x:c>
      <x:c r="N8" s="4" t="str">
        <x:v>备注</x:v>
      </x:c>
    </x:row>
    <x:row r="9" ht="25" customHeight="1">
      <x:c r="A9" s="1" t="n">
        <x:v>1</x:v>
      </x:c>
      <x:c r="B9" s="6" t="str">
        <x:v>2022280415</x:v>
      </x:c>
      <x:c r="C9" s="1" t="str">
        <x:v>张添翼</x:v>
      </x:c>
      <x:c r="D9" s="1" t="str"/>
      <x:c r="E9" s="1" t="str">
        <x:v>否</x:v>
      </x:c>
      <x:c r="F9" s="8"/>
      <x:c r="G9" s="8"/>
      <x:c r="H9" s="8"/>
      <x:c r="I9" s="8"/>
      <x:c r="J9" s="8"/>
      <x:c r="K9" s="9" t="str">
        <x:f>IF(COUNT(G9:I9)=3,SUM(G9:I9),"")</x:f>
      </x:c>
      <x:c r="L9" s="9" t="str">
        <x:f>IF(COUNT(F9:I9)=4,MIN(100,SUM(F9:J9)),"")</x:f>
      </x:c>
      <x:c r="M9" s="1" t="str">
        <x:f>IF(ISNUMBER(L9),"已评分",IF(ISNUMBER(F9),"待教师复核",IF(E9="是","未评分","待提交")))</x:f>
        <x:v>待提交</x:v>
      </x:c>
      <x:c r="N9" s="1" t="str"/>
    </x:row>
    <x:row r="10" ht="25" customHeight="1">
      <x:c r="A10" s="1" t="n">
        <x:v>2</x:v>
      </x:c>
      <x:c r="B10" s="6" t="str">
        <x:v>2022280592</x:v>
      </x:c>
      <x:c r="C10" s="1" t="str">
        <x:v>巴达伟</x:v>
      </x:c>
      <x:c r="D10" s="1" t="str"/>
      <x:c r="E10" s="1" t="str">
        <x:v>否</x:v>
      </x:c>
      <x:c r="F10" s="8"/>
      <x:c r="G10" s="8"/>
      <x:c r="H10" s="8"/>
      <x:c r="I10" s="8"/>
      <x:c r="J10" s="8"/>
      <x:c r="K10" s="9" t="str">
        <x:f>IF(COUNT(G10:I10)=3,SUM(G10:I10),"")</x:f>
      </x:c>
      <x:c r="L10" s="9" t="str">
        <x:f>IF(COUNT(F10:I10)=4,MIN(100,SUM(F10:J10)),"")</x:f>
      </x:c>
      <x:c r="M10" s="1" t="str">
        <x:f>IF(ISNUMBER(L10),"已评分",IF(ISNUMBER(F10),"待教师复核",IF(E10="是","未评分","待提交")))</x:f>
        <x:v>待提交</x:v>
      </x:c>
      <x:c r="N10" s="1" t="str"/>
    </x:row>
    <x:row r="11" ht="25" customHeight="1">
      <x:c r="A11" s="1" t="n">
        <x:v>3</x:v>
      </x:c>
      <x:c r="B11" s="6" t="str">
        <x:v>2023280241</x:v>
      </x:c>
      <x:c r="C11" s="1" t="str">
        <x:v>陈泓帆</x:v>
      </x:c>
      <x:c r="D11" s="1" t="str"/>
      <x:c r="E11" s="1" t="str">
        <x:v>否</x:v>
      </x:c>
      <x:c r="F11" s="8"/>
      <x:c r="G11" s="8"/>
      <x:c r="H11" s="8"/>
      <x:c r="I11" s="8"/>
      <x:c r="J11" s="8"/>
      <x:c r="K11" s="9" t="str">
        <x:f>IF(COUNT(G11:I11)=3,SUM(G11:I11),"")</x:f>
      </x:c>
      <x:c r="L11" s="9" t="str">
        <x:f>IF(COUNT(F11:I11)=4,MIN(100,SUM(F11:J11)),"")</x:f>
      </x:c>
      <x:c r="M11" s="1" t="str">
        <x:f>IF(ISNUMBER(L11),"已评分",IF(ISNUMBER(F11),"待教师复核",IF(E11="是","未评分","待提交")))</x:f>
        <x:v>待提交</x:v>
      </x:c>
      <x:c r="N11" s="1" t="str"/>
    </x:row>
    <x:row r="12" ht="25" customHeight="1">
      <x:c r="A12" s="1" t="n">
        <x:v>4</x:v>
      </x:c>
      <x:c r="B12" s="6" t="str">
        <x:v>2023280422</x:v>
      </x:c>
      <x:c r="C12" s="1" t="str">
        <x:v>曾品源</x:v>
      </x:c>
      <x:c r="D12" s="1" t="str"/>
      <x:c r="E12" s="1" t="str">
        <x:v>否</x:v>
      </x:c>
      <x:c r="F12" s="8"/>
      <x:c r="G12" s="8"/>
      <x:c r="H12" s="8"/>
      <x:c r="I12" s="8"/>
      <x:c r="J12" s="8"/>
      <x:c r="K12" s="9" t="str">
        <x:f>IF(COUNT(G12:I12)=3,SUM(G12:I12),"")</x:f>
      </x:c>
      <x:c r="L12" s="9" t="str">
        <x:f>IF(COUNT(F12:I12)=4,MIN(100,SUM(F12:J12)),"")</x:f>
      </x:c>
      <x:c r="M12" s="1" t="str">
        <x:f>IF(ISNUMBER(L12),"已评分",IF(ISNUMBER(F12),"待教师复核",IF(E12="是","未评分","待提交")))</x:f>
        <x:v>待提交</x:v>
      </x:c>
      <x:c r="N12" s="1" t="str"/>
    </x:row>
    <x:row r="13" ht="25" customHeight="1">
      <x:c r="A13" s="1" t="n">
        <x:v>5</x:v>
      </x:c>
      <x:c r="B13" s="6" t="str">
        <x:v>2023280473</x:v>
      </x:c>
      <x:c r="C13" s="1" t="str">
        <x:v>钟华</x:v>
      </x:c>
      <x:c r="D13" s="1" t="str"/>
      <x:c r="E13" s="1" t="str">
        <x:v>否</x:v>
      </x:c>
      <x:c r="F13" s="8"/>
      <x:c r="G13" s="8"/>
      <x:c r="H13" s="8"/>
      <x:c r="I13" s="8"/>
      <x:c r="J13" s="8"/>
      <x:c r="K13" s="9" t="str">
        <x:f>IF(COUNT(G13:I13)=3,SUM(G13:I13),"")</x:f>
      </x:c>
      <x:c r="L13" s="9" t="str">
        <x:f>IF(COUNT(F13:I13)=4,MIN(100,SUM(F13:J13)),"")</x:f>
      </x:c>
      <x:c r="M13" s="1" t="str">
        <x:f>IF(ISNUMBER(L13),"已评分",IF(ISNUMBER(F13),"待教师复核",IF(E13="是","未评分","待提交")))</x:f>
        <x:v>待提交</x:v>
      </x:c>
      <x:c r="N13" s="1" t="str"/>
    </x:row>
    <x:row r="14" ht="25" customHeight="1">
      <x:c r="A14" s="1" t="n">
        <x:v>6</x:v>
      </x:c>
      <x:c r="B14" s="6" t="str">
        <x:v>2023352050</x:v>
      </x:c>
      <x:c r="C14" s="1" t="str">
        <x:v>张锋烨</x:v>
      </x:c>
      <x:c r="D14" s="1" t="str"/>
      <x:c r="E14" s="1" t="str">
        <x:v>否</x:v>
      </x:c>
      <x:c r="F14" s="8"/>
      <x:c r="G14" s="8"/>
      <x:c r="H14" s="8"/>
      <x:c r="I14" s="8"/>
      <x:c r="J14" s="8"/>
      <x:c r="K14" s="9" t="str">
        <x:f>IF(COUNT(G14:I14)=3,SUM(G14:I14),"")</x:f>
      </x:c>
      <x:c r="L14" s="9" t="str">
        <x:f>IF(COUNT(F14:I14)=4,MIN(100,SUM(F14:J14)),"")</x:f>
      </x:c>
      <x:c r="M14" s="1" t="str">
        <x:f>IF(ISNUMBER(L14),"已评分",IF(ISNUMBER(F14),"待教师复核",IF(E14="是","未评分","待提交")))</x:f>
        <x:v>待提交</x:v>
      </x:c>
      <x:c r="N14" s="1" t="str"/>
    </x:row>
    <x:row r="15" ht="25" customHeight="1">
      <x:c r="A15" s="1" t="n">
        <x:v>7</x:v>
      </x:c>
      <x:c r="B15" s="6" t="str">
        <x:v>2024221047</x:v>
      </x:c>
      <x:c r="C15" s="1" t="str">
        <x:v>王真珍</x:v>
      </x:c>
      <x:c r="D15" s="1" t="str"/>
      <x:c r="E15" s="1" t="str">
        <x:v>否</x:v>
      </x:c>
      <x:c r="F15" s="8"/>
      <x:c r="G15" s="8"/>
      <x:c r="H15" s="8"/>
      <x:c r="I15" s="8"/>
      <x:c r="J15" s="8"/>
      <x:c r="K15" s="9" t="str">
        <x:f>IF(COUNT(G15:I15)=3,SUM(G15:I15),"")</x:f>
      </x:c>
      <x:c r="L15" s="9" t="str">
        <x:f>IF(COUNT(F15:I15)=4,MIN(100,SUM(F15:J15)),"")</x:f>
      </x:c>
      <x:c r="M15" s="1" t="str">
        <x:f>IF(ISNUMBER(L15),"已评分",IF(ISNUMBER(F15),"待教师复核",IF(E15="是","未评分","待提交")))</x:f>
        <x:v>待提交</x:v>
      </x:c>
      <x:c r="N15" s="1" t="str"/>
    </x:row>
    <x:row r="16" ht="25" customHeight="1">
      <x:c r="A16" s="1" t="n">
        <x:v>8</x:v>
      </x:c>
      <x:c r="B16" s="6" t="str">
        <x:v>2024221283</x:v>
      </x:c>
      <x:c r="C16" s="1" t="str">
        <x:v>刘高荣</x:v>
      </x:c>
      <x:c r="D16" s="1" t="str"/>
      <x:c r="E16" s="1" t="str">
        <x:v>否</x:v>
      </x:c>
      <x:c r="F16" s="8"/>
      <x:c r="G16" s="8"/>
      <x:c r="H16" s="8"/>
      <x:c r="I16" s="8"/>
      <x:c r="J16" s="8"/>
      <x:c r="K16" s="9" t="str">
        <x:f>IF(COUNT(G16:I16)=3,SUM(G16:I16),"")</x:f>
      </x:c>
      <x:c r="L16" s="9" t="str">
        <x:f>IF(COUNT(F16:I16)=4,MIN(100,SUM(F16:J16)),"")</x:f>
      </x:c>
      <x:c r="M16" s="1" t="str">
        <x:f>IF(ISNUMBER(L16),"已评分",IF(ISNUMBER(F16),"待教师复核",IF(E16="是","未评分","待提交")))</x:f>
        <x:v>待提交</x:v>
      </x:c>
      <x:c r="N16" s="1" t="str"/>
    </x:row>
    <x:row r="17" ht="25" customHeight="1">
      <x:c r="A17" s="1" t="n">
        <x:v>9</x:v>
      </x:c>
      <x:c r="B17" s="6" t="str">
        <x:v>2024271043</x:v>
      </x:c>
      <x:c r="C17" s="1" t="str">
        <x:v>陈吉冠</x:v>
      </x:c>
      <x:c r="D17" s="1" t="str"/>
      <x:c r="E17" s="1" t="str">
        <x:v>否</x:v>
      </x:c>
      <x:c r="F17" s="8"/>
      <x:c r="G17" s="8"/>
      <x:c r="H17" s="8"/>
      <x:c r="I17" s="8"/>
      <x:c r="J17" s="8"/>
      <x:c r="K17" s="9" t="str">
        <x:f>IF(COUNT(G17:I17)=3,SUM(G17:I17),"")</x:f>
      </x:c>
      <x:c r="L17" s="9" t="str">
        <x:f>IF(COUNT(F17:I17)=4,MIN(100,SUM(F17:J17)),"")</x:f>
      </x:c>
      <x:c r="M17" s="1" t="str">
        <x:f>IF(ISNUMBER(L17),"已评分",IF(ISNUMBER(F17),"待教师复核",IF(E17="是","未评分","待提交")))</x:f>
        <x:v>待提交</x:v>
      </x:c>
      <x:c r="N17" s="1" t="str"/>
    </x:row>
    <x:row r="18" ht="25" customHeight="1">
      <x:c r="A18" s="1" t="n">
        <x:v>10</x:v>
      </x:c>
      <x:c r="B18" s="6" t="str">
        <x:v>2024271068</x:v>
      </x:c>
      <x:c r="C18" s="1" t="str">
        <x:v>范睿恒</x:v>
      </x:c>
      <x:c r="D18" s="1" t="str"/>
      <x:c r="E18" s="1" t="str">
        <x:v>否</x:v>
      </x:c>
      <x:c r="F18" s="8"/>
      <x:c r="G18" s="8"/>
      <x:c r="H18" s="8"/>
      <x:c r="I18" s="8"/>
      <x:c r="J18" s="8"/>
      <x:c r="K18" s="9" t="str">
        <x:f>IF(COUNT(G18:I18)=3,SUM(G18:I18),"")</x:f>
      </x:c>
      <x:c r="L18" s="9" t="str">
        <x:f>IF(COUNT(F18:I18)=4,MIN(100,SUM(F18:J18)),"")</x:f>
      </x:c>
      <x:c r="M18" s="1" t="str">
        <x:f>IF(ISNUMBER(L18),"已评分",IF(ISNUMBER(F18),"待教师复核",IF(E18="是","未评分","待提交")))</x:f>
        <x:v>待提交</x:v>
      </x:c>
      <x:c r="N18" s="1" t="str"/>
    </x:row>
    <x:row r="19" ht="25" customHeight="1">
      <x:c r="A19" s="1" t="n">
        <x:v>11</x:v>
      </x:c>
      <x:c r="B19" s="6" t="str">
        <x:v>2024280011</x:v>
      </x:c>
      <x:c r="C19" s="1" t="str">
        <x:v>郭梦真</x:v>
      </x:c>
      <x:c r="D19" s="1" t="str"/>
      <x:c r="E19" s="1" t="str">
        <x:v>否</x:v>
      </x:c>
      <x:c r="F19" s="8"/>
      <x:c r="G19" s="8"/>
      <x:c r="H19" s="8"/>
      <x:c r="I19" s="8"/>
      <x:c r="J19" s="8"/>
      <x:c r="K19" s="9" t="str">
        <x:f>IF(COUNT(G19:I19)=3,SUM(G19:I19),"")</x:f>
      </x:c>
      <x:c r="L19" s="9" t="str">
        <x:f>IF(COUNT(F19:I19)=4,MIN(100,SUM(F19:J19)),"")</x:f>
      </x:c>
      <x:c r="M19" s="1" t="str">
        <x:f>IF(ISNUMBER(L19),"已评分",IF(ISNUMBER(F19),"待教师复核",IF(E19="是","未评分","待提交")))</x:f>
        <x:v>待提交</x:v>
      </x:c>
      <x:c r="N19" s="1" t="str"/>
    </x:row>
    <x:row r="20" ht="25" customHeight="1">
      <x:c r="A20" s="1" t="n">
        <x:v>12</x:v>
      </x:c>
      <x:c r="B20" s="6" t="str">
        <x:v>2024280016</x:v>
      </x:c>
      <x:c r="C20" s="1" t="str">
        <x:v>张志伟</x:v>
      </x:c>
      <x:c r="D20" s="1" t="str"/>
      <x:c r="E20" s="1" t="str">
        <x:v>否</x:v>
      </x:c>
      <x:c r="F20" s="8"/>
      <x:c r="G20" s="8"/>
      <x:c r="H20" s="8"/>
      <x:c r="I20" s="8"/>
      <x:c r="J20" s="8"/>
      <x:c r="K20" s="9" t="str">
        <x:f>IF(COUNT(G20:I20)=3,SUM(G20:I20),"")</x:f>
      </x:c>
      <x:c r="L20" s="9" t="str">
        <x:f>IF(COUNT(F20:I20)=4,MIN(100,SUM(F20:J20)),"")</x:f>
      </x:c>
      <x:c r="M20" s="1" t="str">
        <x:f>IF(ISNUMBER(L20),"已评分",IF(ISNUMBER(F20),"待教师复核",IF(E20="是","未评分","待提交")))</x:f>
        <x:v>待提交</x:v>
      </x:c>
      <x:c r="N20" s="1" t="str"/>
    </x:row>
    <x:row r="21" ht="25" customHeight="1">
      <x:c r="A21" s="1" t="n">
        <x:v>13</x:v>
      </x:c>
      <x:c r="B21" s="6" t="str">
        <x:v>2024280018</x:v>
      </x:c>
      <x:c r="C21" s="1" t="str">
        <x:v>李思航</x:v>
      </x:c>
      <x:c r="D21" s="1" t="str"/>
      <x:c r="E21" s="1" t="str">
        <x:v>否</x:v>
      </x:c>
      <x:c r="F21" s="8"/>
      <x:c r="G21" s="8"/>
      <x:c r="H21" s="8"/>
      <x:c r="I21" s="8"/>
      <x:c r="J21" s="8"/>
      <x:c r="K21" s="9" t="str">
        <x:f>IF(COUNT(G21:I21)=3,SUM(G21:I21),"")</x:f>
      </x:c>
      <x:c r="L21" s="9" t="str">
        <x:f>IF(COUNT(F21:I21)=4,MIN(100,SUM(F21:J21)),"")</x:f>
      </x:c>
      <x:c r="M21" s="1" t="str">
        <x:f>IF(ISNUMBER(L21),"已评分",IF(ISNUMBER(F21),"待教师复核",IF(E21="是","未评分","待提交")))</x:f>
        <x:v>待提交</x:v>
      </x:c>
      <x:c r="N21" s="1" t="str"/>
    </x:row>
    <x:row r="22" ht="25" customHeight="1">
      <x:c r="A22" s="1" t="n">
        <x:v>14</x:v>
      </x:c>
      <x:c r="B22" s="6" t="str">
        <x:v>2024280019</x:v>
      </x:c>
      <x:c r="C22" s="1" t="str">
        <x:v>吕林敏</x:v>
      </x:c>
      <x:c r="D22" s="1" t="str"/>
      <x:c r="E22" s="1" t="str">
        <x:v>否</x:v>
      </x:c>
      <x:c r="F22" s="8"/>
      <x:c r="G22" s="8"/>
      <x:c r="H22" s="8"/>
      <x:c r="I22" s="8"/>
      <x:c r="J22" s="8"/>
      <x:c r="K22" s="9" t="str">
        <x:f>IF(COUNT(G22:I22)=3,SUM(G22:I22),"")</x:f>
      </x:c>
      <x:c r="L22" s="9" t="str">
        <x:f>IF(COUNT(F22:I22)=4,MIN(100,SUM(F22:J22)),"")</x:f>
      </x:c>
      <x:c r="M22" s="1" t="str">
        <x:f>IF(ISNUMBER(L22),"已评分",IF(ISNUMBER(F22),"待教师复核",IF(E22="是","未评分","待提交")))</x:f>
        <x:v>待提交</x:v>
      </x:c>
      <x:c r="N22" s="1" t="str"/>
    </x:row>
    <x:row r="23" ht="25" customHeight="1">
      <x:c r="A23" s="1" t="n">
        <x:v>15</x:v>
      </x:c>
      <x:c r="B23" s="6" t="str">
        <x:v>2024280042</x:v>
      </x:c>
      <x:c r="C23" s="1" t="str">
        <x:v>李柏霖</x:v>
      </x:c>
      <x:c r="D23" s="1" t="str"/>
      <x:c r="E23" s="1" t="str">
        <x:v>否</x:v>
      </x:c>
      <x:c r="F23" s="8"/>
      <x:c r="G23" s="8"/>
      <x:c r="H23" s="8"/>
      <x:c r="I23" s="8"/>
      <x:c r="J23" s="8"/>
      <x:c r="K23" s="9" t="str">
        <x:f>IF(COUNT(G23:I23)=3,SUM(G23:I23),"")</x:f>
      </x:c>
      <x:c r="L23" s="9" t="str">
        <x:f>IF(COUNT(F23:I23)=4,MIN(100,SUM(F23:J23)),"")</x:f>
      </x:c>
      <x:c r="M23" s="1" t="str">
        <x:f>IF(ISNUMBER(L23),"已评分",IF(ISNUMBER(F23),"待教师复核",IF(E23="是","未评分","待提交")))</x:f>
        <x:v>待提交</x:v>
      </x:c>
      <x:c r="N23" s="1" t="str"/>
    </x:row>
    <x:row r="24" ht="25" customHeight="1">
      <x:c r="A24" s="1" t="n">
        <x:v>16</x:v>
      </x:c>
      <x:c r="B24" s="6" t="str">
        <x:v>2024280045</x:v>
      </x:c>
      <x:c r="C24" s="1" t="str">
        <x:v>帅昌盛</x:v>
      </x:c>
      <x:c r="D24" s="1" t="str"/>
      <x:c r="E24" s="1" t="str">
        <x:v>否</x:v>
      </x:c>
      <x:c r="F24" s="8"/>
      <x:c r="G24" s="8"/>
      <x:c r="H24" s="8"/>
      <x:c r="I24" s="8"/>
      <x:c r="J24" s="8"/>
      <x:c r="K24" s="9" t="str">
        <x:f>IF(COUNT(G24:I24)=3,SUM(G24:I24),"")</x:f>
      </x:c>
      <x:c r="L24" s="9" t="str">
        <x:f>IF(COUNT(F24:I24)=4,MIN(100,SUM(F24:J24)),"")</x:f>
      </x:c>
      <x:c r="M24" s="1" t="str">
        <x:f>IF(ISNUMBER(L24),"已评分",IF(ISNUMBER(F24),"待教师复核",IF(E24="是","未评分","待提交")))</x:f>
        <x:v>待提交</x:v>
      </x:c>
      <x:c r="N24" s="1" t="str"/>
    </x:row>
    <x:row r="25" ht="25" customHeight="1">
      <x:c r="A25" s="1" t="n">
        <x:v>17</x:v>
      </x:c>
      <x:c r="B25" s="6" t="str">
        <x:v>2024280078</x:v>
      </x:c>
      <x:c r="C25" s="1" t="str">
        <x:v>李苏轩</x:v>
      </x:c>
      <x:c r="D25" s="1" t="str"/>
      <x:c r="E25" s="1" t="str">
        <x:v>否</x:v>
      </x:c>
      <x:c r="F25" s="8"/>
      <x:c r="G25" s="8"/>
      <x:c r="H25" s="8"/>
      <x:c r="I25" s="8"/>
      <x:c r="J25" s="8"/>
      <x:c r="K25" s="9" t="str">
        <x:f>IF(COUNT(G25:I25)=3,SUM(G25:I25),"")</x:f>
      </x:c>
      <x:c r="L25" s="9" t="str">
        <x:f>IF(COUNT(F25:I25)=4,MIN(100,SUM(F25:J25)),"")</x:f>
      </x:c>
      <x:c r="M25" s="1" t="str">
        <x:f>IF(ISNUMBER(L25),"已评分",IF(ISNUMBER(F25),"待教师复核",IF(E25="是","未评分","待提交")))</x:f>
        <x:v>待提交</x:v>
      </x:c>
      <x:c r="N25" s="1" t="str"/>
    </x:row>
    <x:row r="26" ht="25" customHeight="1">
      <x:c r="A26" s="1" t="n">
        <x:v>18</x:v>
      </x:c>
      <x:c r="B26" s="6" t="str">
        <x:v>2024280087</x:v>
      </x:c>
      <x:c r="C26" s="1" t="str">
        <x:v>郑航宇</x:v>
      </x:c>
      <x:c r="D26" s="1" t="str"/>
      <x:c r="E26" s="1" t="str">
        <x:v>否</x:v>
      </x:c>
      <x:c r="F26" s="8"/>
      <x:c r="G26" s="8"/>
      <x:c r="H26" s="8"/>
      <x:c r="I26" s="8"/>
      <x:c r="J26" s="8"/>
      <x:c r="K26" s="9" t="str">
        <x:f>IF(COUNT(G26:I26)=3,SUM(G26:I26),"")</x:f>
      </x:c>
      <x:c r="L26" s="9" t="str">
        <x:f>IF(COUNT(F26:I26)=4,MIN(100,SUM(F26:J26)),"")</x:f>
      </x:c>
      <x:c r="M26" s="1" t="str">
        <x:f>IF(ISNUMBER(L26),"已评分",IF(ISNUMBER(F26),"待教师复核",IF(E26="是","未评分","待提交")))</x:f>
        <x:v>待提交</x:v>
      </x:c>
      <x:c r="N26" s="1" t="str"/>
    </x:row>
    <x:row r="27" ht="25" customHeight="1">
      <x:c r="A27" s="1" t="n">
        <x:v>19</x:v>
      </x:c>
      <x:c r="B27" s="6" t="str">
        <x:v>2024280092</x:v>
      </x:c>
      <x:c r="C27" s="1" t="str">
        <x:v>林煜哲</x:v>
      </x:c>
      <x:c r="D27" s="1" t="str"/>
      <x:c r="E27" s="1" t="str">
        <x:v>否</x:v>
      </x:c>
      <x:c r="F27" s="8"/>
      <x:c r="G27" s="8"/>
      <x:c r="H27" s="8"/>
      <x:c r="I27" s="8"/>
      <x:c r="J27" s="8"/>
      <x:c r="K27" s="9" t="str">
        <x:f>IF(COUNT(G27:I27)=3,SUM(G27:I27),"")</x:f>
      </x:c>
      <x:c r="L27" s="9" t="str">
        <x:f>IF(COUNT(F27:I27)=4,MIN(100,SUM(F27:J27)),"")</x:f>
      </x:c>
      <x:c r="M27" s="1" t="str">
        <x:f>IF(ISNUMBER(L27),"已评分",IF(ISNUMBER(F27),"待教师复核",IF(E27="是","未评分","待提交")))</x:f>
        <x:v>待提交</x:v>
      </x:c>
      <x:c r="N27" s="1" t="str"/>
    </x:row>
    <x:row r="28" ht="25" customHeight="1">
      <x:c r="A28" s="1" t="n">
        <x:v>20</x:v>
      </x:c>
      <x:c r="B28" s="6" t="str">
        <x:v>2024280098</x:v>
      </x:c>
      <x:c r="C28" s="1" t="str">
        <x:v>郑礼德</x:v>
      </x:c>
      <x:c r="D28" s="1" t="str"/>
      <x:c r="E28" s="1" t="str">
        <x:v>否</x:v>
      </x:c>
      <x:c r="F28" s="8"/>
      <x:c r="G28" s="8"/>
      <x:c r="H28" s="8"/>
      <x:c r="I28" s="8"/>
      <x:c r="J28" s="8"/>
      <x:c r="K28" s="9" t="str">
        <x:f>IF(COUNT(G28:I28)=3,SUM(G28:I28),"")</x:f>
      </x:c>
      <x:c r="L28" s="9" t="str">
        <x:f>IF(COUNT(F28:I28)=4,MIN(100,SUM(F28:J28)),"")</x:f>
      </x:c>
      <x:c r="M28" s="1" t="str">
        <x:f>IF(ISNUMBER(L28),"已评分",IF(ISNUMBER(F28),"待教师复核",IF(E28="是","未评分","待提交")))</x:f>
        <x:v>待提交</x:v>
      </x:c>
      <x:c r="N28" s="1" t="str"/>
    </x:row>
    <x:row r="29" ht="25" customHeight="1">
      <x:c r="A29" s="1" t="n">
        <x:v>21</x:v>
      </x:c>
      <x:c r="B29" s="6" t="str">
        <x:v>2024280105</x:v>
      </x:c>
      <x:c r="C29" s="1" t="str">
        <x:v>谢紫佳</x:v>
      </x:c>
      <x:c r="D29" s="1" t="str"/>
      <x:c r="E29" s="1" t="str">
        <x:v>否</x:v>
      </x:c>
      <x:c r="F29" s="8"/>
      <x:c r="G29" s="8"/>
      <x:c r="H29" s="8"/>
      <x:c r="I29" s="8"/>
      <x:c r="J29" s="8"/>
      <x:c r="K29" s="9" t="str">
        <x:f>IF(COUNT(G29:I29)=3,SUM(G29:I29),"")</x:f>
      </x:c>
      <x:c r="L29" s="9" t="str">
        <x:f>IF(COUNT(F29:I29)=4,MIN(100,SUM(F29:J29)),"")</x:f>
      </x:c>
      <x:c r="M29" s="1" t="str">
        <x:f>IF(ISNUMBER(L29),"已评分",IF(ISNUMBER(F29),"待教师复核",IF(E29="是","未评分","待提交")))</x:f>
        <x:v>待提交</x:v>
      </x:c>
      <x:c r="N29" s="1" t="str"/>
    </x:row>
    <x:row r="30" ht="25" customHeight="1">
      <x:c r="A30" s="1" t="n">
        <x:v>22</x:v>
      </x:c>
      <x:c r="B30" s="6" t="str">
        <x:v>2024280127</x:v>
      </x:c>
      <x:c r="C30" s="1" t="str">
        <x:v>姚智烁</x:v>
      </x:c>
      <x:c r="D30" s="1" t="str"/>
      <x:c r="E30" s="1" t="str">
        <x:v>否</x:v>
      </x:c>
      <x:c r="F30" s="8"/>
      <x:c r="G30" s="8"/>
      <x:c r="H30" s="8"/>
      <x:c r="I30" s="8"/>
      <x:c r="J30" s="8"/>
      <x:c r="K30" s="9" t="str">
        <x:f>IF(COUNT(G30:I30)=3,SUM(G30:I30),"")</x:f>
      </x:c>
      <x:c r="L30" s="9" t="str">
        <x:f>IF(COUNT(F30:I30)=4,MIN(100,SUM(F30:J30)),"")</x:f>
      </x:c>
      <x:c r="M30" s="1" t="str">
        <x:f>IF(ISNUMBER(L30),"已评分",IF(ISNUMBER(F30),"待教师复核",IF(E30="是","未评分","待提交")))</x:f>
        <x:v>待提交</x:v>
      </x:c>
      <x:c r="N30" s="1" t="str"/>
    </x:row>
    <x:row r="31" ht="25" customHeight="1">
      <x:c r="A31" s="1" t="n">
        <x:v>23</x:v>
      </x:c>
      <x:c r="B31" s="6" t="str">
        <x:v>2024280136</x:v>
      </x:c>
      <x:c r="C31" s="1" t="str">
        <x:v>孙国权</x:v>
      </x:c>
      <x:c r="D31" s="1" t="str"/>
      <x:c r="E31" s="1" t="str">
        <x:v>否</x:v>
      </x:c>
      <x:c r="F31" s="8"/>
      <x:c r="G31" s="8"/>
      <x:c r="H31" s="8"/>
      <x:c r="I31" s="8"/>
      <x:c r="J31" s="8"/>
      <x:c r="K31" s="9" t="str">
        <x:f>IF(COUNT(G31:I31)=3,SUM(G31:I31),"")</x:f>
      </x:c>
      <x:c r="L31" s="9" t="str">
        <x:f>IF(COUNT(F31:I31)=4,MIN(100,SUM(F31:J31)),"")</x:f>
      </x:c>
      <x:c r="M31" s="1" t="str">
        <x:f>IF(ISNUMBER(L31),"已评分",IF(ISNUMBER(F31),"待教师复核",IF(E31="是","未评分","待提交")))</x:f>
        <x:v>待提交</x:v>
      </x:c>
      <x:c r="N31" s="1" t="str"/>
    </x:row>
    <x:row r="32" ht="25" customHeight="1">
      <x:c r="A32" s="1" t="n">
        <x:v>24</x:v>
      </x:c>
      <x:c r="B32" s="6" t="str">
        <x:v>2024280195</x:v>
      </x:c>
      <x:c r="C32" s="1" t="str">
        <x:v>罗成</x:v>
      </x:c>
      <x:c r="D32" s="1" t="str"/>
      <x:c r="E32" s="1" t="str">
        <x:v>否</x:v>
      </x:c>
      <x:c r="F32" s="8"/>
      <x:c r="G32" s="8"/>
      <x:c r="H32" s="8"/>
      <x:c r="I32" s="8"/>
      <x:c r="J32" s="8"/>
      <x:c r="K32" s="9" t="str">
        <x:f>IF(COUNT(G32:I32)=3,SUM(G32:I32),"")</x:f>
      </x:c>
      <x:c r="L32" s="9" t="str">
        <x:f>IF(COUNT(F32:I32)=4,MIN(100,SUM(F32:J32)),"")</x:f>
      </x:c>
      <x:c r="M32" s="1" t="str">
        <x:f>IF(ISNUMBER(L32),"已评分",IF(ISNUMBER(F32),"待教师复核",IF(E32="是","未评分","待提交")))</x:f>
        <x:v>待提交</x:v>
      </x:c>
      <x:c r="N32" s="1" t="str"/>
    </x:row>
    <x:row r="33" ht="25" customHeight="1">
      <x:c r="A33" s="1" t="n">
        <x:v>25</x:v>
      </x:c>
      <x:c r="B33" s="6" t="str">
        <x:v>2024280203</x:v>
      </x:c>
      <x:c r="C33" s="1" t="str">
        <x:v>关乐宜</x:v>
      </x:c>
      <x:c r="D33" s="1" t="str"/>
      <x:c r="E33" s="1" t="str">
        <x:v>否</x:v>
      </x:c>
      <x:c r="F33" s="8"/>
      <x:c r="G33" s="8"/>
      <x:c r="H33" s="8"/>
      <x:c r="I33" s="8"/>
      <x:c r="J33" s="8"/>
      <x:c r="K33" s="9" t="str">
        <x:f>IF(COUNT(G33:I33)=3,SUM(G33:I33),"")</x:f>
      </x:c>
      <x:c r="L33" s="9" t="str">
        <x:f>IF(COUNT(F33:I33)=4,MIN(100,SUM(F33:J33)),"")</x:f>
      </x:c>
      <x:c r="M33" s="1" t="str">
        <x:f>IF(ISNUMBER(L33),"已评分",IF(ISNUMBER(F33),"待教师复核",IF(E33="是","未评分","待提交")))</x:f>
        <x:v>待提交</x:v>
      </x:c>
      <x:c r="N33" s="1" t="str"/>
    </x:row>
    <x:row r="34" ht="25" customHeight="1">
      <x:c r="A34" s="1" t="n">
        <x:v>26</x:v>
      </x:c>
      <x:c r="B34" s="6" t="str">
        <x:v>2024280216</x:v>
      </x:c>
      <x:c r="C34" s="1" t="str">
        <x:v>陈俊呈</x:v>
      </x:c>
      <x:c r="D34" s="1" t="str"/>
      <x:c r="E34" s="1" t="str">
        <x:v>否</x:v>
      </x:c>
      <x:c r="F34" s="8"/>
      <x:c r="G34" s="8"/>
      <x:c r="H34" s="8"/>
      <x:c r="I34" s="8"/>
      <x:c r="J34" s="8"/>
      <x:c r="K34" s="9" t="str">
        <x:f>IF(COUNT(G34:I34)=3,SUM(G34:I34),"")</x:f>
      </x:c>
      <x:c r="L34" s="9" t="str">
        <x:f>IF(COUNT(F34:I34)=4,MIN(100,SUM(F34:J34)),"")</x:f>
      </x:c>
      <x:c r="M34" s="1" t="str">
        <x:f>IF(ISNUMBER(L34),"已评分",IF(ISNUMBER(F34),"待教师复核",IF(E34="是","未评分","待提交")))</x:f>
        <x:v>待提交</x:v>
      </x:c>
      <x:c r="N34" s="1" t="str"/>
    </x:row>
    <x:row r="35" ht="25" customHeight="1">
      <x:c r="A35" s="1" t="n">
        <x:v>27</x:v>
      </x:c>
      <x:c r="B35" s="6" t="str">
        <x:v>2024280220</x:v>
      </x:c>
      <x:c r="C35" s="1" t="str">
        <x:v>陈梓潮</x:v>
      </x:c>
      <x:c r="D35" s="1" t="str"/>
      <x:c r="E35" s="1" t="str">
        <x:v>否</x:v>
      </x:c>
      <x:c r="F35" s="8"/>
      <x:c r="G35" s="8"/>
      <x:c r="H35" s="8"/>
      <x:c r="I35" s="8"/>
      <x:c r="J35" s="8"/>
      <x:c r="K35" s="9" t="str">
        <x:f>IF(COUNT(G35:I35)=3,SUM(G35:I35),"")</x:f>
      </x:c>
      <x:c r="L35" s="9" t="str">
        <x:f>IF(COUNT(F35:I35)=4,MIN(100,SUM(F35:J35)),"")</x:f>
      </x:c>
      <x:c r="M35" s="1" t="str">
        <x:f>IF(ISNUMBER(L35),"已评分",IF(ISNUMBER(F35),"待教师复核",IF(E35="是","未评分","待提交")))</x:f>
        <x:v>待提交</x:v>
      </x:c>
      <x:c r="N35" s="1" t="str"/>
    </x:row>
    <x:row r="36" ht="25" customHeight="1">
      <x:c r="A36" s="1" t="n">
        <x:v>28</x:v>
      </x:c>
      <x:c r="B36" s="6" t="str">
        <x:v>2024280243</x:v>
      </x:c>
      <x:c r="C36" s="1" t="str">
        <x:v>肖昶烨</x:v>
      </x:c>
      <x:c r="D36" s="1" t="str"/>
      <x:c r="E36" s="1" t="str">
        <x:v>否</x:v>
      </x:c>
      <x:c r="F36" s="8"/>
      <x:c r="G36" s="8"/>
      <x:c r="H36" s="8"/>
      <x:c r="I36" s="8"/>
      <x:c r="J36" s="8"/>
      <x:c r="K36" s="9" t="str">
        <x:f>IF(COUNT(G36:I36)=3,SUM(G36:I36),"")</x:f>
      </x:c>
      <x:c r="L36" s="9" t="str">
        <x:f>IF(COUNT(F36:I36)=4,MIN(100,SUM(F36:J36)),"")</x:f>
      </x:c>
      <x:c r="M36" s="1" t="str">
        <x:f>IF(ISNUMBER(L36),"已评分",IF(ISNUMBER(F36),"待教师复核",IF(E36="是","未评分","待提交")))</x:f>
        <x:v>待提交</x:v>
      </x:c>
      <x:c r="N36" s="1" t="str"/>
    </x:row>
    <x:row r="37" ht="25" customHeight="1">
      <x:c r="A37" s="1" t="n">
        <x:v>29</x:v>
      </x:c>
      <x:c r="B37" s="6" t="str">
        <x:v>2024280244</x:v>
      </x:c>
      <x:c r="C37" s="1" t="str">
        <x:v>邓焯峰</x:v>
      </x:c>
      <x:c r="D37" s="1" t="str"/>
      <x:c r="E37" s="1" t="str">
        <x:v>否</x:v>
      </x:c>
      <x:c r="F37" s="8"/>
      <x:c r="G37" s="8"/>
      <x:c r="H37" s="8"/>
      <x:c r="I37" s="8"/>
      <x:c r="J37" s="8"/>
      <x:c r="K37" s="9" t="str">
        <x:f>IF(COUNT(G37:I37)=3,SUM(G37:I37),"")</x:f>
      </x:c>
      <x:c r="L37" s="9" t="str">
        <x:f>IF(COUNT(F37:I37)=4,MIN(100,SUM(F37:J37)),"")</x:f>
      </x:c>
      <x:c r="M37" s="1" t="str">
        <x:f>IF(ISNUMBER(L37),"已评分",IF(ISNUMBER(F37),"待教师复核",IF(E37="是","未评分","待提交")))</x:f>
        <x:v>待提交</x:v>
      </x:c>
      <x:c r="N37" s="1" t="str"/>
    </x:row>
    <x:row r="38" ht="25" customHeight="1">
      <x:c r="A38" s="1" t="n">
        <x:v>30</x:v>
      </x:c>
      <x:c r="B38" s="6" t="str">
        <x:v>2024280310</x:v>
      </x:c>
      <x:c r="C38" s="1" t="str">
        <x:v>罗心怡</x:v>
      </x:c>
      <x:c r="D38" s="1" t="str"/>
      <x:c r="E38" s="1" t="str">
        <x:v>否</x:v>
      </x:c>
      <x:c r="F38" s="8"/>
      <x:c r="G38" s="8"/>
      <x:c r="H38" s="8"/>
      <x:c r="I38" s="8"/>
      <x:c r="J38" s="8"/>
      <x:c r="K38" s="9" t="str">
        <x:f>IF(COUNT(G38:I38)=3,SUM(G38:I38),"")</x:f>
      </x:c>
      <x:c r="L38" s="9" t="str">
        <x:f>IF(COUNT(F38:I38)=4,MIN(100,SUM(F38:J38)),"")</x:f>
      </x:c>
      <x:c r="M38" s="1" t="str">
        <x:f>IF(ISNUMBER(L38),"已评分",IF(ISNUMBER(F38),"待教师复核",IF(E38="是","未评分","待提交")))</x:f>
        <x:v>待提交</x:v>
      </x:c>
      <x:c r="N38" s="1" t="str"/>
    </x:row>
    <x:row r="39" ht="25" customHeight="1">
      <x:c r="A39" s="1" t="n">
        <x:v>31</x:v>
      </x:c>
      <x:c r="B39" s="6" t="str">
        <x:v>2024280318</x:v>
      </x:c>
      <x:c r="C39" s="1" t="str">
        <x:v>卢学翔</x:v>
      </x:c>
      <x:c r="D39" s="1" t="str"/>
      <x:c r="E39" s="1" t="str">
        <x:v>否</x:v>
      </x:c>
      <x:c r="F39" s="8"/>
      <x:c r="G39" s="8"/>
      <x:c r="H39" s="8"/>
      <x:c r="I39" s="8"/>
      <x:c r="J39" s="8"/>
      <x:c r="K39" s="9" t="str">
        <x:f>IF(COUNT(G39:I39)=3,SUM(G39:I39),"")</x:f>
      </x:c>
      <x:c r="L39" s="9" t="str">
        <x:f>IF(COUNT(F39:I39)=4,MIN(100,SUM(F39:J39)),"")</x:f>
      </x:c>
      <x:c r="M39" s="1" t="str">
        <x:f>IF(ISNUMBER(L39),"已评分",IF(ISNUMBER(F39),"待教师复核",IF(E39="是","未评分","待提交")))</x:f>
        <x:v>待提交</x:v>
      </x:c>
      <x:c r="N39" s="1" t="str"/>
    </x:row>
    <x:row r="40" ht="25" customHeight="1">
      <x:c r="A40" s="1" t="n">
        <x:v>32</x:v>
      </x:c>
      <x:c r="B40" s="6" t="str">
        <x:v>2024280377</x:v>
      </x:c>
      <x:c r="C40" s="1" t="str">
        <x:v>尹俊杰</x:v>
      </x:c>
      <x:c r="D40" s="1" t="str"/>
      <x:c r="E40" s="1" t="str">
        <x:v>否</x:v>
      </x:c>
      <x:c r="F40" s="8"/>
      <x:c r="G40" s="8"/>
      <x:c r="H40" s="8"/>
      <x:c r="I40" s="8"/>
      <x:c r="J40" s="8"/>
      <x:c r="K40" s="9" t="str">
        <x:f>IF(COUNT(G40:I40)=3,SUM(G40:I40),"")</x:f>
      </x:c>
      <x:c r="L40" s="9" t="str">
        <x:f>IF(COUNT(F40:I40)=4,MIN(100,SUM(F40:J40)),"")</x:f>
      </x:c>
      <x:c r="M40" s="1" t="str">
        <x:f>IF(ISNUMBER(L40),"已评分",IF(ISNUMBER(F40),"待教师复核",IF(E40="是","未评分","待提交")))</x:f>
        <x:v>待提交</x:v>
      </x:c>
      <x:c r="N40" s="1" t="str"/>
    </x:row>
    <x:row r="41" ht="25" customHeight="1">
      <x:c r="A41" s="1" t="n">
        <x:v>33</x:v>
      </x:c>
      <x:c r="B41" s="6" t="str">
        <x:v>2024280421</x:v>
      </x:c>
      <x:c r="C41" s="1" t="str">
        <x:v>吴培立</x:v>
      </x:c>
      <x:c r="D41" s="1" t="str"/>
      <x:c r="E41" s="1" t="str">
        <x:v>否</x:v>
      </x:c>
      <x:c r="F41" s="8"/>
      <x:c r="G41" s="8"/>
      <x:c r="H41" s="8"/>
      <x:c r="I41" s="8"/>
      <x:c r="J41" s="8"/>
      <x:c r="K41" s="9" t="str">
        <x:f>IF(COUNT(G41:I41)=3,SUM(G41:I41),"")</x:f>
      </x:c>
      <x:c r="L41" s="9" t="str">
        <x:f>IF(COUNT(F41:I41)=4,MIN(100,SUM(F41:J41)),"")</x:f>
      </x:c>
      <x:c r="M41" s="1" t="str">
        <x:f>IF(ISNUMBER(L41),"已评分",IF(ISNUMBER(F41),"待教师复核",IF(E41="是","未评分","待提交")))</x:f>
        <x:v>待提交</x:v>
      </x:c>
      <x:c r="N41" s="1" t="str"/>
    </x:row>
    <x:row r="42" ht="25" customHeight="1">
      <x:c r="A42" s="1" t="n">
        <x:v>34</x:v>
      </x:c>
      <x:c r="B42" s="6" t="str">
        <x:v>2024280422</x:v>
      </x:c>
      <x:c r="C42" s="1" t="str">
        <x:v>刘梓皓</x:v>
      </x:c>
      <x:c r="D42" s="1" t="str"/>
      <x:c r="E42" s="1" t="str">
        <x:v>否</x:v>
      </x:c>
      <x:c r="F42" s="8"/>
      <x:c r="G42" s="8"/>
      <x:c r="H42" s="8"/>
      <x:c r="I42" s="8"/>
      <x:c r="J42" s="8"/>
      <x:c r="K42" s="9" t="str">
        <x:f>IF(COUNT(G42:I42)=3,SUM(G42:I42),"")</x:f>
      </x:c>
      <x:c r="L42" s="9" t="str">
        <x:f>IF(COUNT(F42:I42)=4,MIN(100,SUM(F42:J42)),"")</x:f>
      </x:c>
      <x:c r="M42" s="1" t="str">
        <x:f>IF(ISNUMBER(L42),"已评分",IF(ISNUMBER(F42),"待教师复核",IF(E42="是","未评分","待提交")))</x:f>
        <x:v>待提交</x:v>
      </x:c>
      <x:c r="N42" s="1" t="str"/>
    </x:row>
    <x:row r="43" ht="25" customHeight="1">
      <x:c r="A43" s="1" t="n">
        <x:v>35</x:v>
      </x:c>
      <x:c r="B43" s="6" t="str">
        <x:v>2024280433</x:v>
      </x:c>
      <x:c r="C43" s="1" t="str">
        <x:v>梁弘韬</x:v>
      </x:c>
      <x:c r="D43" s="1" t="str"/>
      <x:c r="E43" s="1" t="str">
        <x:v>否</x:v>
      </x:c>
      <x:c r="F43" s="8"/>
      <x:c r="G43" s="8"/>
      <x:c r="H43" s="8"/>
      <x:c r="I43" s="8"/>
      <x:c r="J43" s="8"/>
      <x:c r="K43" s="9" t="str">
        <x:f>IF(COUNT(G43:I43)=3,SUM(G43:I43),"")</x:f>
      </x:c>
      <x:c r="L43" s="9" t="str">
        <x:f>IF(COUNT(F43:I43)=4,MIN(100,SUM(F43:J43)),"")</x:f>
      </x:c>
      <x:c r="M43" s="1" t="str">
        <x:f>IF(ISNUMBER(L43),"已评分",IF(ISNUMBER(F43),"待教师复核",IF(E43="是","未评分","待提交")))</x:f>
        <x:v>待提交</x:v>
      </x:c>
      <x:c r="N43" s="1" t="str"/>
    </x:row>
    <x:row r="44" ht="25" customHeight="1">
      <x:c r="A44" s="1" t="n">
        <x:v>36</x:v>
      </x:c>
      <x:c r="B44" s="6" t="str">
        <x:v>2024280554</x:v>
      </x:c>
      <x:c r="C44" s="1" t="str">
        <x:v>胡春池</x:v>
      </x:c>
      <x:c r="D44" s="1" t="str"/>
      <x:c r="E44" s="1" t="str">
        <x:v>否</x:v>
      </x:c>
      <x:c r="F44" s="8"/>
      <x:c r="G44" s="8"/>
      <x:c r="H44" s="8"/>
      <x:c r="I44" s="8"/>
      <x:c r="J44" s="8"/>
      <x:c r="K44" s="9" t="str">
        <x:f>IF(COUNT(G44:I44)=3,SUM(G44:I44),"")</x:f>
      </x:c>
      <x:c r="L44" s="9" t="str">
        <x:f>IF(COUNT(F44:I44)=4,MIN(100,SUM(F44:J44)),"")</x:f>
      </x:c>
      <x:c r="M44" s="1" t="str">
        <x:f>IF(ISNUMBER(L44),"已评分",IF(ISNUMBER(F44),"待教师复核",IF(E44="是","未评分","待提交")))</x:f>
        <x:v>待提交</x:v>
      </x:c>
      <x:c r="N44" s="1" t="str"/>
    </x:row>
    <x:row r="45" ht="25" customHeight="1">
      <x:c r="A45" s="1" t="n">
        <x:v>37</x:v>
      </x:c>
      <x:c r="B45" s="6" t="str">
        <x:v>2025280305</x:v>
      </x:c>
      <x:c r="C45" s="1" t="str">
        <x:v>杨欣</x:v>
      </x:c>
      <x:c r="D45" s="1" t="str"/>
      <x:c r="E45" s="1" t="str">
        <x:v>否</x:v>
      </x:c>
      <x:c r="F45" s="8"/>
      <x:c r="G45" s="8"/>
      <x:c r="H45" s="8"/>
      <x:c r="I45" s="8"/>
      <x:c r="J45" s="8"/>
      <x:c r="K45" s="9" t="str">
        <x:f>IF(COUNT(G45:I45)=3,SUM(G45:I45),"")</x:f>
      </x:c>
      <x:c r="L45" s="9" t="str">
        <x:f>IF(COUNT(F45:I45)=4,MIN(100,SUM(F45:J45)),"")</x:f>
      </x:c>
      <x:c r="M45" s="1" t="str">
        <x:f>IF(ISNUMBER(L45),"已评分",IF(ISNUMBER(F45),"待教师复核",IF(E45="是","未评分","待提交")))</x:f>
        <x:v>待提交</x:v>
      </x:c>
      <x:c r="N45" s="1" t="str"/>
    </x:row>
  </x:sheetData>
  <x:dataValidations count="6">
    <x:dataValidation type="list" sqref="E9:E45">
      <x:formula1>"是,否"</x:formula1>
    </x:dataValidation>
    <x:dataValidation type="decimal" operator="between" sqref="F9:F45">
      <x:formula1>0</x:formula1>
      <x:formula2>70</x:formula2>
    </x:dataValidation>
    <x:dataValidation type="decimal" operator="between" sqref="G9:G45">
      <x:formula1>0</x:formula1>
      <x:formula2>5</x:formula2>
    </x:dataValidation>
    <x:dataValidation type="decimal" operator="between" sqref="H9:H45">
      <x:formula1>0</x:formula1>
      <x:formula2>15</x:formula2>
    </x:dataValidation>
    <x:dataValidation type="decimal" operator="between" sqref="I9:I45">
      <x:formula1>0</x:formula1>
      <x:formula2>10</x:formula2>
    </x:dataValidation>
    <x:dataValidation type="decimal" operator="between" sqref="J9:J45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6f82686e27d48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12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30" hidden="0" customWidth="1"/>
    <x:col min="9" max="9" width="1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5" t="str">
        <x:v>现代交换原理 · 实验一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1" t="str">
        <x:v>电路交换与分组交换效率比较｜37人教学班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5" customHeight="1">
      <x:c r="A3" s="1" t="str">
        <x:v>名单来源：现代交换原理-学生名单.pdf；已核对37人。初始记录日期：2026-10-16。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5" customHeight="1">
      <x:c r="A5" s="1" t="str">
        <x:v>此页为建表时快照；最新状态以仓库“作业情况实时跟踪”Actions为准。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5" customHeight="1">
      <x:c r="A6" s="1" t="str">
        <x:v>请逐步补充GitHub用户名；PR标题按“现代交换实验01-姓名-学号”填写。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40" customHeight="1">
      <x:c r="A8" s="4" t="str">
        <x:v>序号</x:v>
      </x:c>
      <x:c r="B8" s="4" t="str">
        <x:v>学号</x:v>
      </x:c>
      <x:c r="C8" s="4" t="str">
        <x:v>姓名</x:v>
      </x:c>
      <x:c r="D8" s="4" t="str">
        <x:v>GitHub用户名</x:v>
      </x:c>
      <x:c r="E8" s="4" t="str">
        <x:v>是否提交代码</x:v>
      </x:c>
      <x:c r="F8" s="4" t="str">
        <x:v>PR数量</x:v>
      </x:c>
      <x:c r="G8" s="4" t="str">
        <x:v>提交次数</x:v>
      </x:c>
      <x:c r="H8" s="4" t="str">
        <x:v>最新PR</x:v>
      </x:c>
      <x:c r="I8" s="4" t="str">
        <x:v>最新PR状态</x:v>
      </x:c>
      <x:c r="J8" s="4" t="str">
        <x:v>最新评分</x:v>
      </x:c>
      <x:c r="K8" s="4" t="str">
        <x:v>评分状态</x:v>
      </x:c>
      <x:c r="L8" s="4" t="str">
        <x:v>最近提交时间</x:v>
      </x:c>
      <x:c r="M8" s="4" t="str">
        <x:v>备注</x:v>
      </x:c>
    </x:row>
    <x:row r="9" ht="25" customHeight="1">
      <x:c r="A9" s="1" t="n">
        <x:v>1</x:v>
      </x:c>
      <x:c r="B9" s="6" t="str">
        <x:v>2022280415</x:v>
      </x:c>
      <x:c r="C9" s="1" t="str">
        <x:v>张添翼</x:v>
      </x:c>
      <x:c r="D9" s="1" t="str"/>
      <x:c r="E9" s="1" t="str">
        <x:v>否</x:v>
      </x:c>
      <x:c r="F9" s="1" t="n">
        <x:v>0</x:v>
      </x:c>
      <x:c r="G9" s="1" t="n">
        <x:v>0</x:v>
      </x:c>
      <x:c r="H9" s="1" t="str"/>
      <x:c r="I9" s="1" t="str"/>
      <x:c r="J9" s="1" t="str"/>
      <x:c r="K9" s="1" t="str">
        <x:v>待提交</x:v>
      </x:c>
      <x:c r="L9" s="1" t="str"/>
      <x:c r="M9" s="1" t="str"/>
    </x:row>
    <x:row r="10" ht="25" customHeight="1">
      <x:c r="A10" s="1" t="n">
        <x:v>2</x:v>
      </x:c>
      <x:c r="B10" s="6" t="str">
        <x:v>2022280592</x:v>
      </x:c>
      <x:c r="C10" s="1" t="str">
        <x:v>巴达伟</x:v>
      </x:c>
      <x:c r="D10" s="1" t="str"/>
      <x:c r="E10" s="1" t="str">
        <x:v>否</x:v>
      </x:c>
      <x:c r="F10" s="1" t="n">
        <x:v>0</x:v>
      </x:c>
      <x:c r="G10" s="1" t="n">
        <x:v>0</x:v>
      </x:c>
      <x:c r="H10" s="1" t="str"/>
      <x:c r="I10" s="1" t="str"/>
      <x:c r="J10" s="1" t="str"/>
      <x:c r="K10" s="1" t="str">
        <x:v>待提交</x:v>
      </x:c>
      <x:c r="L10" s="1" t="str"/>
      <x:c r="M10" s="1" t="str"/>
    </x:row>
    <x:row r="11" ht="25" customHeight="1">
      <x:c r="A11" s="1" t="n">
        <x:v>3</x:v>
      </x:c>
      <x:c r="B11" s="6" t="str">
        <x:v>2023280241</x:v>
      </x:c>
      <x:c r="C11" s="1" t="str">
        <x:v>陈泓帆</x:v>
      </x:c>
      <x:c r="D11" s="1" t="str"/>
      <x:c r="E11" s="1" t="str">
        <x:v>否</x:v>
      </x:c>
      <x:c r="F11" s="1" t="n">
        <x:v>0</x:v>
      </x:c>
      <x:c r="G11" s="1" t="n">
        <x:v>0</x:v>
      </x:c>
      <x:c r="H11" s="1" t="str"/>
      <x:c r="I11" s="1" t="str"/>
      <x:c r="J11" s="1" t="str"/>
      <x:c r="K11" s="1" t="str">
        <x:v>待提交</x:v>
      </x:c>
      <x:c r="L11" s="1" t="str"/>
      <x:c r="M11" s="1" t="str"/>
    </x:row>
    <x:row r="12" ht="25" customHeight="1">
      <x:c r="A12" s="1" t="n">
        <x:v>4</x:v>
      </x:c>
      <x:c r="B12" s="6" t="str">
        <x:v>2023280422</x:v>
      </x:c>
      <x:c r="C12" s="1" t="str">
        <x:v>曾品源</x:v>
      </x:c>
      <x:c r="D12" s="1" t="str"/>
      <x:c r="E12" s="1" t="str">
        <x:v>否</x:v>
      </x:c>
      <x:c r="F12" s="1" t="n">
        <x:v>0</x:v>
      </x:c>
      <x:c r="G12" s="1" t="n">
        <x:v>0</x:v>
      </x:c>
      <x:c r="H12" s="1" t="str"/>
      <x:c r="I12" s="1" t="str"/>
      <x:c r="J12" s="1" t="str"/>
      <x:c r="K12" s="1" t="str">
        <x:v>待提交</x:v>
      </x:c>
      <x:c r="L12" s="1" t="str"/>
      <x:c r="M12" s="1" t="str"/>
    </x:row>
    <x:row r="13" ht="25" customHeight="1">
      <x:c r="A13" s="1" t="n">
        <x:v>5</x:v>
      </x:c>
      <x:c r="B13" s="6" t="str">
        <x:v>2023280473</x:v>
      </x:c>
      <x:c r="C13" s="1" t="str">
        <x:v>钟华</x:v>
      </x:c>
      <x:c r="D13" s="1" t="str"/>
      <x:c r="E13" s="1" t="str">
        <x:v>否</x:v>
      </x:c>
      <x:c r="F13" s="1" t="n">
        <x:v>0</x:v>
      </x:c>
      <x:c r="G13" s="1" t="n">
        <x:v>0</x:v>
      </x:c>
      <x:c r="H13" s="1" t="str"/>
      <x:c r="I13" s="1" t="str"/>
      <x:c r="J13" s="1" t="str"/>
      <x:c r="K13" s="1" t="str">
        <x:v>待提交</x:v>
      </x:c>
      <x:c r="L13" s="1" t="str"/>
      <x:c r="M13" s="1" t="str"/>
    </x:row>
    <x:row r="14" ht="25" customHeight="1">
      <x:c r="A14" s="1" t="n">
        <x:v>6</x:v>
      </x:c>
      <x:c r="B14" s="6" t="str">
        <x:v>2023352050</x:v>
      </x:c>
      <x:c r="C14" s="1" t="str">
        <x:v>张锋烨</x:v>
      </x:c>
      <x:c r="D14" s="1" t="str"/>
      <x:c r="E14" s="1" t="str">
        <x:v>否</x:v>
      </x:c>
      <x:c r="F14" s="1" t="n">
        <x:v>0</x:v>
      </x:c>
      <x:c r="G14" s="1" t="n">
        <x:v>0</x:v>
      </x:c>
      <x:c r="H14" s="1" t="str"/>
      <x:c r="I14" s="1" t="str"/>
      <x:c r="J14" s="1" t="str"/>
      <x:c r="K14" s="1" t="str">
        <x:v>待提交</x:v>
      </x:c>
      <x:c r="L14" s="1" t="str"/>
      <x:c r="M14" s="1" t="str"/>
    </x:row>
    <x:row r="15" ht="25" customHeight="1">
      <x:c r="A15" s="1" t="n">
        <x:v>7</x:v>
      </x:c>
      <x:c r="B15" s="6" t="str">
        <x:v>2024221047</x:v>
      </x:c>
      <x:c r="C15" s="1" t="str">
        <x:v>王真珍</x:v>
      </x:c>
      <x:c r="D15" s="1" t="str"/>
      <x:c r="E15" s="1" t="str">
        <x:v>否</x:v>
      </x:c>
      <x:c r="F15" s="1" t="n">
        <x:v>0</x:v>
      </x:c>
      <x:c r="G15" s="1" t="n">
        <x:v>0</x:v>
      </x:c>
      <x:c r="H15" s="1" t="str"/>
      <x:c r="I15" s="1" t="str"/>
      <x:c r="J15" s="1" t="str"/>
      <x:c r="K15" s="1" t="str">
        <x:v>待提交</x:v>
      </x:c>
      <x:c r="L15" s="1" t="str"/>
      <x:c r="M15" s="1" t="str"/>
    </x:row>
    <x:row r="16" ht="25" customHeight="1">
      <x:c r="A16" s="1" t="n">
        <x:v>8</x:v>
      </x:c>
      <x:c r="B16" s="6" t="str">
        <x:v>2024221283</x:v>
      </x:c>
      <x:c r="C16" s="1" t="str">
        <x:v>刘高荣</x:v>
      </x:c>
      <x:c r="D16" s="1" t="str"/>
      <x:c r="E16" s="1" t="str">
        <x:v>否</x:v>
      </x:c>
      <x:c r="F16" s="1" t="n">
        <x:v>0</x:v>
      </x:c>
      <x:c r="G16" s="1" t="n">
        <x:v>0</x:v>
      </x:c>
      <x:c r="H16" s="1" t="str"/>
      <x:c r="I16" s="1" t="str"/>
      <x:c r="J16" s="1" t="str"/>
      <x:c r="K16" s="1" t="str">
        <x:v>待提交</x:v>
      </x:c>
      <x:c r="L16" s="1" t="str"/>
      <x:c r="M16" s="1" t="str"/>
    </x:row>
    <x:row r="17" ht="25" customHeight="1">
      <x:c r="A17" s="1" t="n">
        <x:v>9</x:v>
      </x:c>
      <x:c r="B17" s="6" t="str">
        <x:v>2024271043</x:v>
      </x:c>
      <x:c r="C17" s="1" t="str">
        <x:v>陈吉冠</x:v>
      </x:c>
      <x:c r="D17" s="1" t="str"/>
      <x:c r="E17" s="1" t="str">
        <x:v>否</x:v>
      </x:c>
      <x:c r="F17" s="1" t="n">
        <x:v>0</x:v>
      </x:c>
      <x:c r="G17" s="1" t="n">
        <x:v>0</x:v>
      </x:c>
      <x:c r="H17" s="1" t="str"/>
      <x:c r="I17" s="1" t="str"/>
      <x:c r="J17" s="1" t="str"/>
      <x:c r="K17" s="1" t="str">
        <x:v>待提交</x:v>
      </x:c>
      <x:c r="L17" s="1" t="str"/>
      <x:c r="M17" s="1" t="str"/>
    </x:row>
    <x:row r="18" ht="25" customHeight="1">
      <x:c r="A18" s="1" t="n">
        <x:v>10</x:v>
      </x:c>
      <x:c r="B18" s="6" t="str">
        <x:v>2024271068</x:v>
      </x:c>
      <x:c r="C18" s="1" t="str">
        <x:v>范睿恒</x:v>
      </x:c>
      <x:c r="D18" s="1" t="str"/>
      <x:c r="E18" s="1" t="str">
        <x:v>否</x:v>
      </x:c>
      <x:c r="F18" s="1" t="n">
        <x:v>0</x:v>
      </x:c>
      <x:c r="G18" s="1" t="n">
        <x:v>0</x:v>
      </x:c>
      <x:c r="H18" s="1" t="str"/>
      <x:c r="I18" s="1" t="str"/>
      <x:c r="J18" s="1" t="str"/>
      <x:c r="K18" s="1" t="str">
        <x:v>待提交</x:v>
      </x:c>
      <x:c r="L18" s="1" t="str"/>
      <x:c r="M18" s="1" t="str"/>
    </x:row>
    <x:row r="19" ht="25" customHeight="1">
      <x:c r="A19" s="1" t="n">
        <x:v>11</x:v>
      </x:c>
      <x:c r="B19" s="6" t="str">
        <x:v>2024280011</x:v>
      </x:c>
      <x:c r="C19" s="1" t="str">
        <x:v>郭梦真</x:v>
      </x:c>
      <x:c r="D19" s="1" t="str"/>
      <x:c r="E19" s="1" t="str">
        <x:v>否</x:v>
      </x:c>
      <x:c r="F19" s="1" t="n">
        <x:v>0</x:v>
      </x:c>
      <x:c r="G19" s="1" t="n">
        <x:v>0</x:v>
      </x:c>
      <x:c r="H19" s="1" t="str"/>
      <x:c r="I19" s="1" t="str"/>
      <x:c r="J19" s="1" t="str"/>
      <x:c r="K19" s="1" t="str">
        <x:v>待提交</x:v>
      </x:c>
      <x:c r="L19" s="1" t="str"/>
      <x:c r="M19" s="1" t="str"/>
    </x:row>
    <x:row r="20" ht="25" customHeight="1">
      <x:c r="A20" s="1" t="n">
        <x:v>12</x:v>
      </x:c>
      <x:c r="B20" s="6" t="str">
        <x:v>2024280016</x:v>
      </x:c>
      <x:c r="C20" s="1" t="str">
        <x:v>张志伟</x:v>
      </x:c>
      <x:c r="D20" s="1" t="str"/>
      <x:c r="E20" s="1" t="str">
        <x:v>否</x:v>
      </x:c>
      <x:c r="F20" s="1" t="n">
        <x:v>0</x:v>
      </x:c>
      <x:c r="G20" s="1" t="n">
        <x:v>0</x:v>
      </x:c>
      <x:c r="H20" s="1" t="str"/>
      <x:c r="I20" s="1" t="str"/>
      <x:c r="J20" s="1" t="str"/>
      <x:c r="K20" s="1" t="str">
        <x:v>待提交</x:v>
      </x:c>
      <x:c r="L20" s="1" t="str"/>
      <x:c r="M20" s="1" t="str"/>
    </x:row>
    <x:row r="21" ht="25" customHeight="1">
      <x:c r="A21" s="1" t="n">
        <x:v>13</x:v>
      </x:c>
      <x:c r="B21" s="6" t="str">
        <x:v>2024280018</x:v>
      </x:c>
      <x:c r="C21" s="1" t="str">
        <x:v>李思航</x:v>
      </x:c>
      <x:c r="D21" s="1" t="str"/>
      <x:c r="E21" s="1" t="str">
        <x:v>否</x:v>
      </x:c>
      <x:c r="F21" s="1" t="n">
        <x:v>0</x:v>
      </x:c>
      <x:c r="G21" s="1" t="n">
        <x:v>0</x:v>
      </x:c>
      <x:c r="H21" s="1" t="str"/>
      <x:c r="I21" s="1" t="str"/>
      <x:c r="J21" s="1" t="str"/>
      <x:c r="K21" s="1" t="str">
        <x:v>待提交</x:v>
      </x:c>
      <x:c r="L21" s="1" t="str"/>
      <x:c r="M21" s="1" t="str"/>
    </x:row>
    <x:row r="22" ht="25" customHeight="1">
      <x:c r="A22" s="1" t="n">
        <x:v>14</x:v>
      </x:c>
      <x:c r="B22" s="6" t="str">
        <x:v>2024280019</x:v>
      </x:c>
      <x:c r="C22" s="1" t="str">
        <x:v>吕林敏</x:v>
      </x:c>
      <x:c r="D22" s="1" t="str"/>
      <x:c r="E22" s="1" t="str">
        <x:v>否</x:v>
      </x:c>
      <x:c r="F22" s="1" t="n">
        <x:v>0</x:v>
      </x:c>
      <x:c r="G22" s="1" t="n">
        <x:v>0</x:v>
      </x:c>
      <x:c r="H22" s="1" t="str"/>
      <x:c r="I22" s="1" t="str"/>
      <x:c r="J22" s="1" t="str"/>
      <x:c r="K22" s="1" t="str">
        <x:v>待提交</x:v>
      </x:c>
      <x:c r="L22" s="1" t="str"/>
      <x:c r="M22" s="1" t="str"/>
    </x:row>
    <x:row r="23" ht="25" customHeight="1">
      <x:c r="A23" s="1" t="n">
        <x:v>15</x:v>
      </x:c>
      <x:c r="B23" s="6" t="str">
        <x:v>2024280042</x:v>
      </x:c>
      <x:c r="C23" s="1" t="str">
        <x:v>李柏霖</x:v>
      </x:c>
      <x:c r="D23" s="1" t="str"/>
      <x:c r="E23" s="1" t="str">
        <x:v>否</x:v>
      </x:c>
      <x:c r="F23" s="1" t="n">
        <x:v>0</x:v>
      </x:c>
      <x:c r="G23" s="1" t="n">
        <x:v>0</x:v>
      </x:c>
      <x:c r="H23" s="1" t="str"/>
      <x:c r="I23" s="1" t="str"/>
      <x:c r="J23" s="1" t="str"/>
      <x:c r="K23" s="1" t="str">
        <x:v>待提交</x:v>
      </x:c>
      <x:c r="L23" s="1" t="str"/>
      <x:c r="M23" s="1" t="str"/>
    </x:row>
    <x:row r="24" ht="25" customHeight="1">
      <x:c r="A24" s="1" t="n">
        <x:v>16</x:v>
      </x:c>
      <x:c r="B24" s="6" t="str">
        <x:v>2024280045</x:v>
      </x:c>
      <x:c r="C24" s="1" t="str">
        <x:v>帅昌盛</x:v>
      </x:c>
      <x:c r="D24" s="1" t="str"/>
      <x:c r="E24" s="1" t="str">
        <x:v>否</x:v>
      </x:c>
      <x:c r="F24" s="1" t="n">
        <x:v>0</x:v>
      </x:c>
      <x:c r="G24" s="1" t="n">
        <x:v>0</x:v>
      </x:c>
      <x:c r="H24" s="1" t="str"/>
      <x:c r="I24" s="1" t="str"/>
      <x:c r="J24" s="1" t="str"/>
      <x:c r="K24" s="1" t="str">
        <x:v>待提交</x:v>
      </x:c>
      <x:c r="L24" s="1" t="str"/>
      <x:c r="M24" s="1" t="str"/>
    </x:row>
    <x:row r="25" ht="25" customHeight="1">
      <x:c r="A25" s="1" t="n">
        <x:v>17</x:v>
      </x:c>
      <x:c r="B25" s="6" t="str">
        <x:v>2024280078</x:v>
      </x:c>
      <x:c r="C25" s="1" t="str">
        <x:v>李苏轩</x:v>
      </x:c>
      <x:c r="D25" s="1" t="str"/>
      <x:c r="E25" s="1" t="str">
        <x:v>否</x:v>
      </x:c>
      <x:c r="F25" s="1" t="n">
        <x:v>0</x:v>
      </x:c>
      <x:c r="G25" s="1" t="n">
        <x:v>0</x:v>
      </x:c>
      <x:c r="H25" s="1" t="str"/>
      <x:c r="I25" s="1" t="str"/>
      <x:c r="J25" s="1" t="str"/>
      <x:c r="K25" s="1" t="str">
        <x:v>待提交</x:v>
      </x:c>
      <x:c r="L25" s="1" t="str"/>
      <x:c r="M25" s="1" t="str"/>
    </x:row>
    <x:row r="26" ht="25" customHeight="1">
      <x:c r="A26" s="1" t="n">
        <x:v>18</x:v>
      </x:c>
      <x:c r="B26" s="6" t="str">
        <x:v>2024280087</x:v>
      </x:c>
      <x:c r="C26" s="1" t="str">
        <x:v>郑航宇</x:v>
      </x:c>
      <x:c r="D26" s="1" t="str"/>
      <x:c r="E26" s="1" t="str">
        <x:v>否</x:v>
      </x:c>
      <x:c r="F26" s="1" t="n">
        <x:v>0</x:v>
      </x:c>
      <x:c r="G26" s="1" t="n">
        <x:v>0</x:v>
      </x:c>
      <x:c r="H26" s="1" t="str"/>
      <x:c r="I26" s="1" t="str"/>
      <x:c r="J26" s="1" t="str"/>
      <x:c r="K26" s="1" t="str">
        <x:v>待提交</x:v>
      </x:c>
      <x:c r="L26" s="1" t="str"/>
      <x:c r="M26" s="1" t="str"/>
    </x:row>
    <x:row r="27" ht="25" customHeight="1">
      <x:c r="A27" s="1" t="n">
        <x:v>19</x:v>
      </x:c>
      <x:c r="B27" s="6" t="str">
        <x:v>2024280092</x:v>
      </x:c>
      <x:c r="C27" s="1" t="str">
        <x:v>林煜哲</x:v>
      </x:c>
      <x:c r="D27" s="1" t="str"/>
      <x:c r="E27" s="1" t="str">
        <x:v>否</x:v>
      </x:c>
      <x:c r="F27" s="1" t="n">
        <x:v>0</x:v>
      </x:c>
      <x:c r="G27" s="1" t="n">
        <x:v>0</x:v>
      </x:c>
      <x:c r="H27" s="1" t="str"/>
      <x:c r="I27" s="1" t="str"/>
      <x:c r="J27" s="1" t="str"/>
      <x:c r="K27" s="1" t="str">
        <x:v>待提交</x:v>
      </x:c>
      <x:c r="L27" s="1" t="str"/>
      <x:c r="M27" s="1" t="str"/>
    </x:row>
    <x:row r="28" ht="25" customHeight="1">
      <x:c r="A28" s="1" t="n">
        <x:v>20</x:v>
      </x:c>
      <x:c r="B28" s="6" t="str">
        <x:v>2024280098</x:v>
      </x:c>
      <x:c r="C28" s="1" t="str">
        <x:v>郑礼德</x:v>
      </x:c>
      <x:c r="D28" s="1" t="str"/>
      <x:c r="E28" s="1" t="str">
        <x:v>否</x:v>
      </x:c>
      <x:c r="F28" s="1" t="n">
        <x:v>0</x:v>
      </x:c>
      <x:c r="G28" s="1" t="n">
        <x:v>0</x:v>
      </x:c>
      <x:c r="H28" s="1" t="str"/>
      <x:c r="I28" s="1" t="str"/>
      <x:c r="J28" s="1" t="str"/>
      <x:c r="K28" s="1" t="str">
        <x:v>待提交</x:v>
      </x:c>
      <x:c r="L28" s="1" t="str"/>
      <x:c r="M28" s="1" t="str"/>
    </x:row>
    <x:row r="29" ht="25" customHeight="1">
      <x:c r="A29" s="1" t="n">
        <x:v>21</x:v>
      </x:c>
      <x:c r="B29" s="6" t="str">
        <x:v>2024280105</x:v>
      </x:c>
      <x:c r="C29" s="1" t="str">
        <x:v>谢紫佳</x:v>
      </x:c>
      <x:c r="D29" s="1" t="str"/>
      <x:c r="E29" s="1" t="str">
        <x:v>否</x:v>
      </x:c>
      <x:c r="F29" s="1" t="n">
        <x:v>0</x:v>
      </x:c>
      <x:c r="G29" s="1" t="n">
        <x:v>0</x:v>
      </x:c>
      <x:c r="H29" s="1" t="str"/>
      <x:c r="I29" s="1" t="str"/>
      <x:c r="J29" s="1" t="str"/>
      <x:c r="K29" s="1" t="str">
        <x:v>待提交</x:v>
      </x:c>
      <x:c r="L29" s="1" t="str"/>
      <x:c r="M29" s="1" t="str"/>
    </x:row>
    <x:row r="30" ht="25" customHeight="1">
      <x:c r="A30" s="1" t="n">
        <x:v>22</x:v>
      </x:c>
      <x:c r="B30" s="6" t="str">
        <x:v>2024280127</x:v>
      </x:c>
      <x:c r="C30" s="1" t="str">
        <x:v>姚智烁</x:v>
      </x:c>
      <x:c r="D30" s="1" t="str"/>
      <x:c r="E30" s="1" t="str">
        <x:v>否</x:v>
      </x:c>
      <x:c r="F30" s="1" t="n">
        <x:v>0</x:v>
      </x:c>
      <x:c r="G30" s="1" t="n">
        <x:v>0</x:v>
      </x:c>
      <x:c r="H30" s="1" t="str"/>
      <x:c r="I30" s="1" t="str"/>
      <x:c r="J30" s="1" t="str"/>
      <x:c r="K30" s="1" t="str">
        <x:v>待提交</x:v>
      </x:c>
      <x:c r="L30" s="1" t="str"/>
      <x:c r="M30" s="1" t="str"/>
    </x:row>
    <x:row r="31" ht="25" customHeight="1">
      <x:c r="A31" s="1" t="n">
        <x:v>23</x:v>
      </x:c>
      <x:c r="B31" s="6" t="str">
        <x:v>2024280136</x:v>
      </x:c>
      <x:c r="C31" s="1" t="str">
        <x:v>孙国权</x:v>
      </x:c>
      <x:c r="D31" s="1" t="str"/>
      <x:c r="E31" s="1" t="str">
        <x:v>否</x:v>
      </x:c>
      <x:c r="F31" s="1" t="n">
        <x:v>0</x:v>
      </x:c>
      <x:c r="G31" s="1" t="n">
        <x:v>0</x:v>
      </x:c>
      <x:c r="H31" s="1" t="str"/>
      <x:c r="I31" s="1" t="str"/>
      <x:c r="J31" s="1" t="str"/>
      <x:c r="K31" s="1" t="str">
        <x:v>待提交</x:v>
      </x:c>
      <x:c r="L31" s="1" t="str"/>
      <x:c r="M31" s="1" t="str"/>
    </x:row>
    <x:row r="32" ht="25" customHeight="1">
      <x:c r="A32" s="1" t="n">
        <x:v>24</x:v>
      </x:c>
      <x:c r="B32" s="6" t="str">
        <x:v>2024280195</x:v>
      </x:c>
      <x:c r="C32" s="1" t="str">
        <x:v>罗成</x:v>
      </x:c>
      <x:c r="D32" s="1" t="str"/>
      <x:c r="E32" s="1" t="str">
        <x:v>否</x:v>
      </x:c>
      <x:c r="F32" s="1" t="n">
        <x:v>0</x:v>
      </x:c>
      <x:c r="G32" s="1" t="n">
        <x:v>0</x:v>
      </x:c>
      <x:c r="H32" s="1" t="str"/>
      <x:c r="I32" s="1" t="str"/>
      <x:c r="J32" s="1" t="str"/>
      <x:c r="K32" s="1" t="str">
        <x:v>待提交</x:v>
      </x:c>
      <x:c r="L32" s="1" t="str"/>
      <x:c r="M32" s="1" t="str"/>
    </x:row>
    <x:row r="33" ht="25" customHeight="1">
      <x:c r="A33" s="1" t="n">
        <x:v>25</x:v>
      </x:c>
      <x:c r="B33" s="6" t="str">
        <x:v>2024280203</x:v>
      </x:c>
      <x:c r="C33" s="1" t="str">
        <x:v>关乐宜</x:v>
      </x:c>
      <x:c r="D33" s="1" t="str"/>
      <x:c r="E33" s="1" t="str">
        <x:v>否</x:v>
      </x:c>
      <x:c r="F33" s="1" t="n">
        <x:v>0</x:v>
      </x:c>
      <x:c r="G33" s="1" t="n">
        <x:v>0</x:v>
      </x:c>
      <x:c r="H33" s="1" t="str"/>
      <x:c r="I33" s="1" t="str"/>
      <x:c r="J33" s="1" t="str"/>
      <x:c r="K33" s="1" t="str">
        <x:v>待提交</x:v>
      </x:c>
      <x:c r="L33" s="1" t="str"/>
      <x:c r="M33" s="1" t="str"/>
    </x:row>
    <x:row r="34" ht="25" customHeight="1">
      <x:c r="A34" s="1" t="n">
        <x:v>26</x:v>
      </x:c>
      <x:c r="B34" s="6" t="str">
        <x:v>2024280216</x:v>
      </x:c>
      <x:c r="C34" s="1" t="str">
        <x:v>陈俊呈</x:v>
      </x:c>
      <x:c r="D34" s="1" t="str"/>
      <x:c r="E34" s="1" t="str">
        <x:v>否</x:v>
      </x:c>
      <x:c r="F34" s="1" t="n">
        <x:v>0</x:v>
      </x:c>
      <x:c r="G34" s="1" t="n">
        <x:v>0</x:v>
      </x:c>
      <x:c r="H34" s="1" t="str"/>
      <x:c r="I34" s="1" t="str"/>
      <x:c r="J34" s="1" t="str"/>
      <x:c r="K34" s="1" t="str">
        <x:v>待提交</x:v>
      </x:c>
      <x:c r="L34" s="1" t="str"/>
      <x:c r="M34" s="1" t="str"/>
    </x:row>
    <x:row r="35" ht="25" customHeight="1">
      <x:c r="A35" s="1" t="n">
        <x:v>27</x:v>
      </x:c>
      <x:c r="B35" s="6" t="str">
        <x:v>2024280220</x:v>
      </x:c>
      <x:c r="C35" s="1" t="str">
        <x:v>陈梓潮</x:v>
      </x:c>
      <x:c r="D35" s="1" t="str"/>
      <x:c r="E35" s="1" t="str">
        <x:v>否</x:v>
      </x:c>
      <x:c r="F35" s="1" t="n">
        <x:v>0</x:v>
      </x:c>
      <x:c r="G35" s="1" t="n">
        <x:v>0</x:v>
      </x:c>
      <x:c r="H35" s="1" t="str"/>
      <x:c r="I35" s="1" t="str"/>
      <x:c r="J35" s="1" t="str"/>
      <x:c r="K35" s="1" t="str">
        <x:v>待提交</x:v>
      </x:c>
      <x:c r="L35" s="1" t="str"/>
      <x:c r="M35" s="1" t="str"/>
    </x:row>
    <x:row r="36" ht="25" customHeight="1">
      <x:c r="A36" s="1" t="n">
        <x:v>28</x:v>
      </x:c>
      <x:c r="B36" s="6" t="str">
        <x:v>2024280243</x:v>
      </x:c>
      <x:c r="C36" s="1" t="str">
        <x:v>肖昶烨</x:v>
      </x:c>
      <x:c r="D36" s="1" t="str"/>
      <x:c r="E36" s="1" t="str">
        <x:v>否</x:v>
      </x:c>
      <x:c r="F36" s="1" t="n">
        <x:v>0</x:v>
      </x:c>
      <x:c r="G36" s="1" t="n">
        <x:v>0</x:v>
      </x:c>
      <x:c r="H36" s="1" t="str"/>
      <x:c r="I36" s="1" t="str"/>
      <x:c r="J36" s="1" t="str"/>
      <x:c r="K36" s="1" t="str">
        <x:v>待提交</x:v>
      </x:c>
      <x:c r="L36" s="1" t="str"/>
      <x:c r="M36" s="1" t="str"/>
    </x:row>
    <x:row r="37" ht="25" customHeight="1">
      <x:c r="A37" s="1" t="n">
        <x:v>29</x:v>
      </x:c>
      <x:c r="B37" s="6" t="str">
        <x:v>2024280244</x:v>
      </x:c>
      <x:c r="C37" s="1" t="str">
        <x:v>邓焯峰</x:v>
      </x:c>
      <x:c r="D37" s="1" t="str"/>
      <x:c r="E37" s="1" t="str">
        <x:v>否</x:v>
      </x:c>
      <x:c r="F37" s="1" t="n">
        <x:v>0</x:v>
      </x:c>
      <x:c r="G37" s="1" t="n">
        <x:v>0</x:v>
      </x:c>
      <x:c r="H37" s="1" t="str"/>
      <x:c r="I37" s="1" t="str"/>
      <x:c r="J37" s="1" t="str"/>
      <x:c r="K37" s="1" t="str">
        <x:v>待提交</x:v>
      </x:c>
      <x:c r="L37" s="1" t="str"/>
      <x:c r="M37" s="1" t="str"/>
    </x:row>
    <x:row r="38" ht="25" customHeight="1">
      <x:c r="A38" s="1" t="n">
        <x:v>30</x:v>
      </x:c>
      <x:c r="B38" s="6" t="str">
        <x:v>2024280310</x:v>
      </x:c>
      <x:c r="C38" s="1" t="str">
        <x:v>罗心怡</x:v>
      </x:c>
      <x:c r="D38" s="1" t="str"/>
      <x:c r="E38" s="1" t="str">
        <x:v>否</x:v>
      </x:c>
      <x:c r="F38" s="1" t="n">
        <x:v>0</x:v>
      </x:c>
      <x:c r="G38" s="1" t="n">
        <x:v>0</x:v>
      </x:c>
      <x:c r="H38" s="1" t="str"/>
      <x:c r="I38" s="1" t="str"/>
      <x:c r="J38" s="1" t="str"/>
      <x:c r="K38" s="1" t="str">
        <x:v>待提交</x:v>
      </x:c>
      <x:c r="L38" s="1" t="str"/>
      <x:c r="M38" s="1" t="str"/>
    </x:row>
    <x:row r="39" ht="25" customHeight="1">
      <x:c r="A39" s="1" t="n">
        <x:v>31</x:v>
      </x:c>
      <x:c r="B39" s="6" t="str">
        <x:v>2024280318</x:v>
      </x:c>
      <x:c r="C39" s="1" t="str">
        <x:v>卢学翔</x:v>
      </x:c>
      <x:c r="D39" s="1" t="str"/>
      <x:c r="E39" s="1" t="str">
        <x:v>否</x:v>
      </x:c>
      <x:c r="F39" s="1" t="n">
        <x:v>0</x:v>
      </x:c>
      <x:c r="G39" s="1" t="n">
        <x:v>0</x:v>
      </x:c>
      <x:c r="H39" s="1" t="str"/>
      <x:c r="I39" s="1" t="str"/>
      <x:c r="J39" s="1" t="str"/>
      <x:c r="K39" s="1" t="str">
        <x:v>待提交</x:v>
      </x:c>
      <x:c r="L39" s="1" t="str"/>
      <x:c r="M39" s="1" t="str"/>
    </x:row>
    <x:row r="40" ht="25" customHeight="1">
      <x:c r="A40" s="1" t="n">
        <x:v>32</x:v>
      </x:c>
      <x:c r="B40" s="6" t="str">
        <x:v>2024280377</x:v>
      </x:c>
      <x:c r="C40" s="1" t="str">
        <x:v>尹俊杰</x:v>
      </x:c>
      <x:c r="D40" s="1" t="str"/>
      <x:c r="E40" s="1" t="str">
        <x:v>否</x:v>
      </x:c>
      <x:c r="F40" s="1" t="n">
        <x:v>0</x:v>
      </x:c>
      <x:c r="G40" s="1" t="n">
        <x:v>0</x:v>
      </x:c>
      <x:c r="H40" s="1" t="str"/>
      <x:c r="I40" s="1" t="str"/>
      <x:c r="J40" s="1" t="str"/>
      <x:c r="K40" s="1" t="str">
        <x:v>待提交</x:v>
      </x:c>
      <x:c r="L40" s="1" t="str"/>
      <x:c r="M40" s="1" t="str"/>
    </x:row>
    <x:row r="41" ht="25" customHeight="1">
      <x:c r="A41" s="1" t="n">
        <x:v>33</x:v>
      </x:c>
      <x:c r="B41" s="6" t="str">
        <x:v>2024280421</x:v>
      </x:c>
      <x:c r="C41" s="1" t="str">
        <x:v>吴培立</x:v>
      </x:c>
      <x:c r="D41" s="1" t="str"/>
      <x:c r="E41" s="1" t="str">
        <x:v>否</x:v>
      </x:c>
      <x:c r="F41" s="1" t="n">
        <x:v>0</x:v>
      </x:c>
      <x:c r="G41" s="1" t="n">
        <x:v>0</x:v>
      </x:c>
      <x:c r="H41" s="1" t="str"/>
      <x:c r="I41" s="1" t="str"/>
      <x:c r="J41" s="1" t="str"/>
      <x:c r="K41" s="1" t="str">
        <x:v>待提交</x:v>
      </x:c>
      <x:c r="L41" s="1" t="str"/>
      <x:c r="M41" s="1" t="str"/>
    </x:row>
    <x:row r="42" ht="25" customHeight="1">
      <x:c r="A42" s="1" t="n">
        <x:v>34</x:v>
      </x:c>
      <x:c r="B42" s="6" t="str">
        <x:v>2024280422</x:v>
      </x:c>
      <x:c r="C42" s="1" t="str">
        <x:v>刘梓皓</x:v>
      </x:c>
      <x:c r="D42" s="1" t="str"/>
      <x:c r="E42" s="1" t="str">
        <x:v>否</x:v>
      </x:c>
      <x:c r="F42" s="1" t="n">
        <x:v>0</x:v>
      </x:c>
      <x:c r="G42" s="1" t="n">
        <x:v>0</x:v>
      </x:c>
      <x:c r="H42" s="1" t="str"/>
      <x:c r="I42" s="1" t="str"/>
      <x:c r="J42" s="1" t="str"/>
      <x:c r="K42" s="1" t="str">
        <x:v>待提交</x:v>
      </x:c>
      <x:c r="L42" s="1" t="str"/>
      <x:c r="M42" s="1" t="str"/>
    </x:row>
    <x:row r="43" ht="25" customHeight="1">
      <x:c r="A43" s="1" t="n">
        <x:v>35</x:v>
      </x:c>
      <x:c r="B43" s="6" t="str">
        <x:v>2024280433</x:v>
      </x:c>
      <x:c r="C43" s="1" t="str">
        <x:v>梁弘韬</x:v>
      </x:c>
      <x:c r="D43" s="1" t="str"/>
      <x:c r="E43" s="1" t="str">
        <x:v>否</x:v>
      </x:c>
      <x:c r="F43" s="1" t="n">
        <x:v>0</x:v>
      </x:c>
      <x:c r="G43" s="1" t="n">
        <x:v>0</x:v>
      </x:c>
      <x:c r="H43" s="1" t="str"/>
      <x:c r="I43" s="1" t="str"/>
      <x:c r="J43" s="1" t="str"/>
      <x:c r="K43" s="1" t="str">
        <x:v>待提交</x:v>
      </x:c>
      <x:c r="L43" s="1" t="str"/>
      <x:c r="M43" s="1" t="str"/>
    </x:row>
    <x:row r="44" ht="25" customHeight="1">
      <x:c r="A44" s="1" t="n">
        <x:v>36</x:v>
      </x:c>
      <x:c r="B44" s="6" t="str">
        <x:v>2024280554</x:v>
      </x:c>
      <x:c r="C44" s="1" t="str">
        <x:v>胡春池</x:v>
      </x:c>
      <x:c r="D44" s="1" t="str"/>
      <x:c r="E44" s="1" t="str">
        <x:v>否</x:v>
      </x:c>
      <x:c r="F44" s="1" t="n">
        <x:v>0</x:v>
      </x:c>
      <x:c r="G44" s="1" t="n">
        <x:v>0</x:v>
      </x:c>
      <x:c r="H44" s="1" t="str"/>
      <x:c r="I44" s="1" t="str"/>
      <x:c r="J44" s="1" t="str"/>
      <x:c r="K44" s="1" t="str">
        <x:v>待提交</x:v>
      </x:c>
      <x:c r="L44" s="1" t="str"/>
      <x:c r="M44" s="1" t="str"/>
    </x:row>
    <x:row r="45" ht="25" customHeight="1">
      <x:c r="A45" s="1" t="n">
        <x:v>37</x:v>
      </x:c>
      <x:c r="B45" s="6" t="str">
        <x:v>2025280305</x:v>
      </x:c>
      <x:c r="C45" s="1" t="str">
        <x:v>杨欣</x:v>
      </x:c>
      <x:c r="D45" s="1" t="str"/>
      <x:c r="E45" s="1" t="str">
        <x:v>否</x:v>
      </x:c>
      <x:c r="F45" s="1" t="n">
        <x:v>0</x:v>
      </x:c>
      <x:c r="G45" s="1" t="n">
        <x:v>0</x:v>
      </x:c>
      <x:c r="H45" s="1" t="str"/>
      <x:c r="I45" s="1" t="str"/>
      <x:c r="J45" s="1" t="str"/>
      <x:c r="K45" s="1" t="str">
        <x:v>待提交</x:v>
      </x:c>
      <x:c r="L45" s="1" t="str"/>
      <x:c r="M45" s="1" t="str"/>
    </x:row>
  </x:sheetData>
  <x:pageMargins left="0.7" right="0.7" top="0.75" bottom="0.75" header="0.3" footer="0.3"/>
  <x:tableParts count="1">
    <x:tablePart xmlns:r="http://schemas.openxmlformats.org/officeDocument/2006/relationships" r:id="R227e279215d840be"/>
  </x:tableParts>
</x:worksheet>
</file>